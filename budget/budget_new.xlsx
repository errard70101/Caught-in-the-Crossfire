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inshih-yang/Documents/GitHub/Caught-in-the-Crossfire/budget/"/>
    </mc:Choice>
  </mc:AlternateContent>
  <xr:revisionPtr revIDLastSave="0" documentId="13_ncr:1_{B0ED756F-6A10-AE40-83AF-52659223DE34}" xr6:coauthVersionLast="47" xr6:coauthVersionMax="47" xr10:uidLastSave="{00000000-0000-0000-0000-000000000000}"/>
  <bookViews>
    <workbookView xWindow="15940" yWindow="680" windowWidth="33060" windowHeight="20160" activeTab="1" xr2:uid="{00000000-000D-0000-FFFF-FFFF00000000}"/>
  </bookViews>
  <sheets>
    <sheet name="Summary" sheetId="1" r:id="rId1"/>
    <sheet name="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6" i="1"/>
  <c r="B6" i="1"/>
  <c r="D6" i="1" s="1"/>
  <c r="C5" i="1"/>
  <c r="B5" i="1"/>
  <c r="D5" i="1" s="1"/>
  <c r="C4" i="1"/>
  <c r="B4" i="1"/>
  <c r="D4" i="1" s="1"/>
  <c r="C3" i="1"/>
  <c r="B3" i="1"/>
  <c r="D3" i="1" s="1"/>
  <c r="C2" i="1"/>
  <c r="C7" i="1" s="1"/>
  <c r="B2" i="1"/>
  <c r="B7" i="1" l="1"/>
  <c r="D2" i="1"/>
  <c r="D7" i="1" s="1"/>
</calcChain>
</file>

<file path=xl/sharedStrings.xml><?xml version="1.0" encoding="utf-8"?>
<sst xmlns="http://schemas.openxmlformats.org/spreadsheetml/2006/main" count="93" uniqueCount="32">
  <si>
    <t>類別</t>
  </si>
  <si>
    <t>第1年 (NTD)</t>
  </si>
  <si>
    <t>第2年 (NTD)</t>
  </si>
  <si>
    <t>兩年合計 (NTD)</t>
  </si>
  <si>
    <t>研究人力費</t>
  </si>
  <si>
    <t>耗材/物品/圖書/雜項</t>
  </si>
  <si>
    <t>研究設備費</t>
  </si>
  <si>
    <t>國外差旅—國際合作移地研究</t>
  </si>
  <si>
    <t>國外差旅—出席國際學術會議</t>
  </si>
  <si>
    <t>合計</t>
  </si>
  <si>
    <t>年度</t>
  </si>
  <si>
    <t>項目</t>
  </si>
  <si>
    <t>數量</t>
  </si>
  <si>
    <t>單價 (NTD)</t>
  </si>
  <si>
    <t>金額 (NTD)</t>
  </si>
  <si>
    <t>備註/來源</t>
  </si>
  <si>
    <t>第1年</t>
  </si>
  <si>
    <t>專任人員</t>
  </si>
  <si>
    <t>Source: examples images</t>
  </si>
  <si>
    <t>兼任人員（碩士生）</t>
  </si>
  <si>
    <t>15000/月 x 12；Source: examples images</t>
  </si>
  <si>
    <t>消耗性器材</t>
  </si>
  <si>
    <t>電腦使用費（Dropbox/Overleaf/AI）</t>
  </si>
  <si>
    <t>雜支（學會年費）</t>
  </si>
  <si>
    <t>論文發表費</t>
  </si>
  <si>
    <t>高效能桌上型電腦</t>
  </si>
  <si>
    <t>Stata 19</t>
  </si>
  <si>
    <t>日本大阪（5天）</t>
  </si>
  <si>
    <t>第2年</t>
  </si>
  <si>
    <t>高效能筆記型電腦</t>
  </si>
  <si>
    <t>日本東京（5天）</t>
  </si>
  <si>
    <t>2027 Society of Economic Dynamics Annual Meeting（5天）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</si>
</sst>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horizontal="center" vertical="center" wrapText="1"/>
    </xf>
    <xf numFmtId="0" fontId="1" fillId="0" borderId="0" xfId="0" applyFont="1"/>
    <xf numFmtId="17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zoomScale="180" zoomScaleNormal="180" workbookViewId="0">
      <pane ySplit="1" topLeftCell="A2" activePane="bottomLeft" state="frozen"/>
      <selection pane="bottomLeft" activeCell="R14" sqref="R14"/>
    </sheetView>
  </sheetViews>
  <sheetFormatPr baseColWidth="10" defaultColWidth="9" defaultRowHeight="14"/>
  <cols>
    <col min="1" max="1" width="28" customWidth="1"/>
    <col min="2" max="3" width="16" customWidth="1"/>
    <col min="4" max="4" width="18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3">
        <f>SUMIFS(Detail!$F:$F,Detail!$A:$A,"第1年",Detail!$B:$B,$A2)</f>
        <v>838974</v>
      </c>
      <c r="C2" s="3">
        <f>SUMIFS(Detail!$F:$F,Detail!$A:$A,"第2年",Detail!$B:$B,$A2)</f>
        <v>838974</v>
      </c>
      <c r="D2" s="3">
        <f>B2+C2</f>
        <v>1677948</v>
      </c>
    </row>
    <row r="3" spans="1:4" ht="15">
      <c r="A3" s="2" t="s">
        <v>5</v>
      </c>
      <c r="B3" s="3">
        <f>SUMIFS(Detail!$F:$F,Detail!$A:$A,"第1年",Detail!$B:$B,$A3)</f>
        <v>68000</v>
      </c>
      <c r="C3" s="3">
        <f>SUMIFS(Detail!$F:$F,Detail!$A:$A,"第2年",Detail!$B:$B,$A3)</f>
        <v>93000</v>
      </c>
      <c r="D3" s="3">
        <f>B3+C3</f>
        <v>161000</v>
      </c>
    </row>
    <row r="4" spans="1:4" ht="15">
      <c r="A4" s="2" t="s">
        <v>6</v>
      </c>
      <c r="B4" s="3">
        <f>SUMIFS(Detail!$F:$F,Detail!$A:$A,"第1年",Detail!$B:$B,$A4)</f>
        <v>130000</v>
      </c>
      <c r="C4" s="3">
        <f>SUMIFS(Detail!$F:$F,Detail!$A:$A,"第2年",Detail!$B:$B,$A4)</f>
        <v>65000</v>
      </c>
      <c r="D4" s="3">
        <f>B4+C4</f>
        <v>195000</v>
      </c>
    </row>
    <row r="5" spans="1:4" ht="30">
      <c r="A5" s="2" t="s">
        <v>7</v>
      </c>
      <c r="B5" s="3">
        <f>SUMIFS(Detail!$F:$F,Detail!$A:$A,"第1年",Detail!$B:$B,$A5)</f>
        <v>65000</v>
      </c>
      <c r="C5" s="3">
        <f>SUMIFS(Detail!$F:$F,Detail!$A:$A,"第2年",Detail!$B:$B,$A5)</f>
        <v>70000</v>
      </c>
      <c r="D5" s="3">
        <f>B5+C5</f>
        <v>135000</v>
      </c>
    </row>
    <row r="6" spans="1:4" ht="30">
      <c r="A6" s="2" t="s">
        <v>8</v>
      </c>
      <c r="B6" s="3">
        <f>SUMIFS(Detail!$F:$F,Detail!$A:$A,"第1年",Detail!$B:$B,$A6)</f>
        <v>120000</v>
      </c>
      <c r="C6" s="3">
        <f>SUMIFS(Detail!$F:$F,Detail!$A:$A,"第2年",Detail!$B:$B,$A6)</f>
        <v>150000</v>
      </c>
      <c r="D6" s="3">
        <f>B6+C6</f>
        <v>270000</v>
      </c>
    </row>
    <row r="7" spans="1:4" ht="15">
      <c r="A7" s="4" t="s">
        <v>9</v>
      </c>
      <c r="B7" s="5">
        <f>SUM(B2:B6)</f>
        <v>1221974</v>
      </c>
      <c r="C7" s="5">
        <f>SUM(C2:C6)</f>
        <v>1216974</v>
      </c>
      <c r="D7" s="5">
        <f>SUM(D2:D6)</f>
        <v>2438948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zoomScale="190" zoomScaleNormal="190" workbookViewId="0">
      <pane ySplit="1" topLeftCell="A2" activePane="bottomLeft" state="frozen"/>
      <selection pane="bottomLeft" activeCell="C22" sqref="C22"/>
    </sheetView>
  </sheetViews>
  <sheetFormatPr baseColWidth="10" defaultColWidth="9" defaultRowHeight="14"/>
  <cols>
    <col min="1" max="1" width="10" customWidth="1"/>
    <col min="2" max="2" width="28" customWidth="1"/>
    <col min="3" max="3" width="32" customWidth="1"/>
    <col min="4" max="4" width="8" customWidth="1"/>
    <col min="5" max="6" width="14" customWidth="1"/>
    <col min="7" max="7" width="40" customWidth="1"/>
  </cols>
  <sheetData>
    <row r="1" spans="1:7" ht="15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ht="15">
      <c r="A2" s="6" t="s">
        <v>16</v>
      </c>
      <c r="B2" s="2" t="s">
        <v>4</v>
      </c>
      <c r="C2" s="2" t="s">
        <v>17</v>
      </c>
      <c r="D2" s="7">
        <v>1</v>
      </c>
      <c r="E2" s="3">
        <v>658974</v>
      </c>
      <c r="F2" s="3">
        <f t="shared" ref="F2:F20" si="0">D2*E2</f>
        <v>658974</v>
      </c>
      <c r="G2" s="2" t="s">
        <v>18</v>
      </c>
    </row>
    <row r="3" spans="1:7" ht="15">
      <c r="A3" s="6" t="s">
        <v>16</v>
      </c>
      <c r="B3" s="2" t="s">
        <v>4</v>
      </c>
      <c r="C3" s="2" t="s">
        <v>19</v>
      </c>
      <c r="D3" s="7">
        <v>12</v>
      </c>
      <c r="E3" s="3">
        <v>15000</v>
      </c>
      <c r="F3" s="3">
        <f t="shared" si="0"/>
        <v>180000</v>
      </c>
      <c r="G3" s="2" t="s">
        <v>20</v>
      </c>
    </row>
    <row r="4" spans="1:7" ht="15">
      <c r="A4" s="6" t="s">
        <v>16</v>
      </c>
      <c r="B4" s="2" t="s">
        <v>5</v>
      </c>
      <c r="C4" s="2" t="s">
        <v>21</v>
      </c>
      <c r="D4" s="7">
        <v>1</v>
      </c>
      <c r="E4" s="3">
        <v>25000</v>
      </c>
      <c r="F4" s="3">
        <f t="shared" si="0"/>
        <v>25000</v>
      </c>
      <c r="G4" s="2" t="s">
        <v>18</v>
      </c>
    </row>
    <row r="5" spans="1:7" ht="30">
      <c r="A5" s="6" t="s">
        <v>16</v>
      </c>
      <c r="B5" s="2" t="s">
        <v>5</v>
      </c>
      <c r="C5" s="2" t="s">
        <v>22</v>
      </c>
      <c r="D5" s="7">
        <v>3</v>
      </c>
      <c r="E5" s="3">
        <v>6000</v>
      </c>
      <c r="F5" s="3">
        <f t="shared" si="0"/>
        <v>18000</v>
      </c>
      <c r="G5" s="2" t="s">
        <v>18</v>
      </c>
    </row>
    <row r="6" spans="1:7" ht="15">
      <c r="A6" s="6" t="s">
        <v>16</v>
      </c>
      <c r="B6" s="2" t="s">
        <v>5</v>
      </c>
      <c r="C6" s="2" t="s">
        <v>23</v>
      </c>
      <c r="D6" s="7">
        <v>1</v>
      </c>
      <c r="E6" s="3">
        <v>15000</v>
      </c>
      <c r="F6" s="3">
        <f t="shared" si="0"/>
        <v>15000</v>
      </c>
      <c r="G6" s="2" t="s">
        <v>18</v>
      </c>
    </row>
    <row r="7" spans="1:7" ht="15">
      <c r="A7" s="6" t="s">
        <v>16</v>
      </c>
      <c r="B7" s="2" t="s">
        <v>5</v>
      </c>
      <c r="C7" s="2" t="s">
        <v>24</v>
      </c>
      <c r="D7" s="7">
        <v>1</v>
      </c>
      <c r="E7" s="3">
        <v>10000</v>
      </c>
      <c r="F7" s="3">
        <f t="shared" si="0"/>
        <v>10000</v>
      </c>
      <c r="G7" s="2" t="s">
        <v>18</v>
      </c>
    </row>
    <row r="8" spans="1:7" ht="15">
      <c r="A8" s="6" t="s">
        <v>16</v>
      </c>
      <c r="B8" s="2" t="s">
        <v>6</v>
      </c>
      <c r="C8" s="2" t="s">
        <v>25</v>
      </c>
      <c r="D8" s="7">
        <v>1</v>
      </c>
      <c r="E8" s="3">
        <v>80000</v>
      </c>
      <c r="F8" s="3">
        <f t="shared" si="0"/>
        <v>80000</v>
      </c>
      <c r="G8" s="2" t="s">
        <v>18</v>
      </c>
    </row>
    <row r="9" spans="1:7" ht="15">
      <c r="A9" s="6" t="s">
        <v>16</v>
      </c>
      <c r="B9" s="2" t="s">
        <v>6</v>
      </c>
      <c r="C9" s="2" t="s">
        <v>26</v>
      </c>
      <c r="D9" s="7">
        <v>1</v>
      </c>
      <c r="E9" s="3">
        <v>50000</v>
      </c>
      <c r="F9" s="3">
        <f t="shared" si="0"/>
        <v>50000</v>
      </c>
      <c r="G9" s="2" t="s">
        <v>18</v>
      </c>
    </row>
    <row r="10" spans="1:7" ht="30">
      <c r="A10" s="6" t="s">
        <v>16</v>
      </c>
      <c r="B10" s="2" t="s">
        <v>7</v>
      </c>
      <c r="C10" s="2" t="s">
        <v>27</v>
      </c>
      <c r="D10" s="7">
        <v>1</v>
      </c>
      <c r="E10" s="3">
        <v>65000</v>
      </c>
      <c r="F10" s="3">
        <f t="shared" si="0"/>
        <v>65000</v>
      </c>
      <c r="G10" s="2" t="s">
        <v>18</v>
      </c>
    </row>
    <row r="11" spans="1:7" ht="30">
      <c r="A11" s="6" t="s">
        <v>16</v>
      </c>
      <c r="B11" s="2" t="s">
        <v>8</v>
      </c>
      <c r="C11" s="2" t="s">
        <v>31</v>
      </c>
      <c r="D11" s="7">
        <v>1</v>
      </c>
      <c r="E11" s="3">
        <v>120000</v>
      </c>
      <c r="F11" s="3">
        <f t="shared" si="0"/>
        <v>120000</v>
      </c>
      <c r="G11" s="2" t="s">
        <v>18</v>
      </c>
    </row>
    <row r="12" spans="1:7" ht="15">
      <c r="A12" s="6" t="s">
        <v>28</v>
      </c>
      <c r="B12" s="2" t="s">
        <v>4</v>
      </c>
      <c r="C12" s="2" t="s">
        <v>17</v>
      </c>
      <c r="D12" s="7">
        <v>1</v>
      </c>
      <c r="E12" s="3">
        <v>658974</v>
      </c>
      <c r="F12" s="3">
        <f t="shared" si="0"/>
        <v>658974</v>
      </c>
      <c r="G12" s="2" t="s">
        <v>18</v>
      </c>
    </row>
    <row r="13" spans="1:7" ht="15">
      <c r="A13" s="6" t="s">
        <v>28</v>
      </c>
      <c r="B13" s="2" t="s">
        <v>4</v>
      </c>
      <c r="C13" s="2" t="s">
        <v>19</v>
      </c>
      <c r="D13" s="7">
        <v>12</v>
      </c>
      <c r="E13" s="3">
        <v>15000</v>
      </c>
      <c r="F13" s="3">
        <f t="shared" si="0"/>
        <v>180000</v>
      </c>
      <c r="G13" s="2" t="s">
        <v>20</v>
      </c>
    </row>
    <row r="14" spans="1:7" ht="15">
      <c r="A14" s="6" t="s">
        <v>28</v>
      </c>
      <c r="B14" s="2" t="s">
        <v>5</v>
      </c>
      <c r="C14" s="2" t="s">
        <v>21</v>
      </c>
      <c r="D14" s="7">
        <v>1</v>
      </c>
      <c r="E14" s="3">
        <v>25000</v>
      </c>
      <c r="F14" s="3">
        <f t="shared" si="0"/>
        <v>25000</v>
      </c>
      <c r="G14" s="2" t="s">
        <v>18</v>
      </c>
    </row>
    <row r="15" spans="1:7" ht="30">
      <c r="A15" s="6" t="s">
        <v>28</v>
      </c>
      <c r="B15" s="2" t="s">
        <v>5</v>
      </c>
      <c r="C15" s="2" t="s">
        <v>22</v>
      </c>
      <c r="D15" s="7">
        <v>3</v>
      </c>
      <c r="E15" s="3">
        <v>6000</v>
      </c>
      <c r="F15" s="3">
        <f t="shared" si="0"/>
        <v>18000</v>
      </c>
      <c r="G15" s="2" t="s">
        <v>18</v>
      </c>
    </row>
    <row r="16" spans="1:7" ht="15">
      <c r="A16" s="6" t="s">
        <v>28</v>
      </c>
      <c r="B16" s="2" t="s">
        <v>5</v>
      </c>
      <c r="C16" s="2" t="s">
        <v>23</v>
      </c>
      <c r="D16" s="7">
        <v>1</v>
      </c>
      <c r="E16" s="3">
        <v>20000</v>
      </c>
      <c r="F16" s="3">
        <f t="shared" si="0"/>
        <v>20000</v>
      </c>
      <c r="G16" s="2" t="s">
        <v>18</v>
      </c>
    </row>
    <row r="17" spans="1:7" ht="15">
      <c r="A17" s="6" t="s">
        <v>28</v>
      </c>
      <c r="B17" s="2" t="s">
        <v>5</v>
      </c>
      <c r="C17" s="2" t="s">
        <v>24</v>
      </c>
      <c r="D17" s="7">
        <v>3</v>
      </c>
      <c r="E17" s="3">
        <v>10000</v>
      </c>
      <c r="F17" s="3">
        <f t="shared" si="0"/>
        <v>30000</v>
      </c>
      <c r="G17" s="2" t="s">
        <v>18</v>
      </c>
    </row>
    <row r="18" spans="1:7" ht="15">
      <c r="A18" s="6" t="s">
        <v>28</v>
      </c>
      <c r="B18" s="2" t="s">
        <v>6</v>
      </c>
      <c r="C18" s="2" t="s">
        <v>29</v>
      </c>
      <c r="D18" s="7">
        <v>1</v>
      </c>
      <c r="E18" s="3">
        <v>65000</v>
      </c>
      <c r="F18" s="3">
        <f t="shared" si="0"/>
        <v>65000</v>
      </c>
      <c r="G18" s="2" t="s">
        <v>18</v>
      </c>
    </row>
    <row r="19" spans="1:7" ht="30">
      <c r="A19" s="6" t="s">
        <v>28</v>
      </c>
      <c r="B19" s="2" t="s">
        <v>7</v>
      </c>
      <c r="C19" s="2" t="s">
        <v>30</v>
      </c>
      <c r="D19" s="7">
        <v>1</v>
      </c>
      <c r="E19" s="3">
        <v>70000</v>
      </c>
      <c r="F19" s="3">
        <f t="shared" si="0"/>
        <v>70000</v>
      </c>
      <c r="G19" s="2" t="s">
        <v>18</v>
      </c>
    </row>
    <row r="20" spans="1:7" ht="30">
      <c r="A20" s="6" t="s">
        <v>28</v>
      </c>
      <c r="B20" s="2" t="s">
        <v>8</v>
      </c>
      <c r="C20" s="2" t="s">
        <v>31</v>
      </c>
      <c r="D20" s="7">
        <v>1</v>
      </c>
      <c r="E20" s="3">
        <v>150000</v>
      </c>
      <c r="F20" s="3">
        <f t="shared" si="0"/>
        <v>150000</v>
      </c>
      <c r="G20" s="2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世揚 林</cp:lastModifiedBy>
  <dcterms:created xsi:type="dcterms:W3CDTF">2026-01-26T02:12:10Z</dcterms:created>
  <dcterms:modified xsi:type="dcterms:W3CDTF">2026-02-02T08:34:39Z</dcterms:modified>
</cp:coreProperties>
</file>